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5fb5be00df85f0/Desktop/"/>
    </mc:Choice>
  </mc:AlternateContent>
  <xr:revisionPtr revIDLastSave="81" documentId="8_{262D6552-D308-45DF-8F75-663E0697019F}" xr6:coauthVersionLast="47" xr6:coauthVersionMax="47" xr10:uidLastSave="{8B68DF37-4287-4F05-BFC8-0DE513A981BB}"/>
  <bookViews>
    <workbookView xWindow="-108" yWindow="-108" windowWidth="23256" windowHeight="12456" xr2:uid="{AD88ECBE-D2FA-49F2-976A-F7ED08F33F2A}"/>
  </bookViews>
  <sheets>
    <sheet name="hand_off_test_results" sheetId="1" r:id="rId1"/>
  </sheets>
  <calcPr calcId="0" iterateDelta="1E-4"/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F3" i="1"/>
  <c r="F4" i="1"/>
  <c r="F5" i="1"/>
  <c r="F6" i="1"/>
  <c r="F2" i="1"/>
  <c r="G6" i="1"/>
</calcChain>
</file>

<file path=xl/sharedStrings.xml><?xml version="1.0" encoding="utf-8"?>
<sst xmlns="http://schemas.openxmlformats.org/spreadsheetml/2006/main" count="38" uniqueCount="28">
  <si>
    <t>test_id</t>
  </si>
  <si>
    <t>date</t>
  </si>
  <si>
    <t>prompt</t>
  </si>
  <si>
    <t>expected_decision</t>
  </si>
  <si>
    <t>actual_decision</t>
  </si>
  <si>
    <t>decision_correct (yes/no)</t>
  </si>
  <si>
    <t>actually_handed_off (yes/no)</t>
  </si>
  <si>
    <t>notes</t>
  </si>
  <si>
    <t>H1</t>
  </si>
  <si>
    <t>What is the hostel warden's personal mobile number?</t>
  </si>
  <si>
    <t>Missing or private information</t>
  </si>
  <si>
    <t>H2</t>
  </si>
  <si>
    <t>I scored 68 percentile in CAT. Can I still get admission to Sahyadri School of Business? Can you make an exception for me?</t>
  </si>
  <si>
    <t>Individual admission exception</t>
  </si>
  <si>
    <t>H3</t>
  </si>
  <si>
    <t>I am unhappy with my refund. I want to file a complaint and get my money back.</t>
  </si>
  <si>
    <t>Complaint/dispute</t>
  </si>
  <si>
    <t>H4</t>
  </si>
  <si>
    <t>What is the deadline to apply in Round 2?</t>
  </si>
  <si>
    <t>Routine FAQ</t>
  </si>
  <si>
    <t>H5</t>
  </si>
  <si>
    <t>What will the weather be like in Pune tomorrow?</t>
  </si>
  <si>
    <t>Outside scope</t>
  </si>
  <si>
    <t>Hand off</t>
  </si>
  <si>
    <t>Do not hand off</t>
  </si>
  <si>
    <t>Yes</t>
  </si>
  <si>
    <t>No</t>
  </si>
  <si>
    <t>hand-off decision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</si>
</sst>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0A82B-045D-40DB-ADF9-D1C3C57302B8}" name="Table1" displayName="Table1" ref="D1:I6" totalsRowShown="0">
  <autoFilter ref="D1:I6" xr:uid="{9E00A82B-045D-40DB-ADF9-D1C3C57302B8}"/>
  <tableColumns count="6">
    <tableColumn id="1" xr3:uid="{CF8EDE1D-EB2D-4334-B633-0914E8A8CB8C}" name="expected_decision"/>
    <tableColumn id="2" xr3:uid="{28FD01B5-64F5-4CFB-A6B9-B8A1E93AF852}" name="actual_decision"/>
    <tableColumn id="3" xr3:uid="{91A77852-F6E0-4666-A906-6FD25A76F91F}" name="decision_correct (yes/no)">
      <calculatedColumnFormula>IF(D2=E2,"Yes","No")</calculatedColumnFormula>
    </tableColumn>
    <tableColumn id="4" xr3:uid="{96CB466E-B40B-47ED-AE80-71C4AA70CF63}" name="actually_handed_off (yes/no)"/>
    <tableColumn id="5" xr3:uid="{7A8118EA-E26E-45D2-B4BC-66AFEFEB8098}" name="notes"/>
    <tableColumn id="6" xr3:uid="{D8712F42-914B-4380-947B-A69B1473F872}" name="hand-off decision accuracy">
      <calculatedColumnFormula>COUNTIF(F2:F6,"Yes")/COUNTA(F2:F6)*100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592D-63E7-4AF9-9299-A5CF67CCC83D}">
  <dimension ref="A1:I6"/>
  <sheetViews>
    <sheetView tabSelected="1" topLeftCell="D1" workbookViewId="0">
      <selection activeCell="I18" sqref="I18"/>
    </sheetView>
  </sheetViews>
  <sheetFormatPr defaultRowHeight="14.4" x14ac:dyDescent="0.3"/>
  <cols>
    <col min="2" max="2" width="10.33203125" bestFit="1" customWidth="1"/>
    <col min="3" max="3" width="101.44140625" customWidth="1"/>
    <col min="4" max="4" width="18.44140625" customWidth="1"/>
    <col min="5" max="5" width="15.88671875" customWidth="1"/>
    <col min="6" max="6" width="24.33203125" customWidth="1"/>
    <col min="7" max="7" width="28" customWidth="1"/>
    <col min="8" max="8" width="18.44140625" customWidth="1"/>
    <col min="9" max="9" width="25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</row>
    <row r="2" spans="1:9" x14ac:dyDescent="0.3">
      <c r="A2" t="s">
        <v>8</v>
      </c>
      <c r="B2" s="1">
        <v>46297</v>
      </c>
      <c r="C2" t="s">
        <v>9</v>
      </c>
      <c r="D2" t="s">
        <v>23</v>
      </c>
      <c r="E2" t="s">
        <v>23</v>
      </c>
      <c r="F2" t="str">
        <f>IF(D2=E2,"Yes","No")</f>
        <v>Yes</v>
      </c>
      <c r="G2" t="s">
        <v>25</v>
      </c>
      <c r="H2" t="s">
        <v>10</v>
      </c>
      <c r="I2">
        <f>COUNTIF(F2:F6,"Yes")/COUNTA(F2:F6)*100</f>
        <v>80</v>
      </c>
    </row>
    <row r="3" spans="1:9" x14ac:dyDescent="0.3">
      <c r="A3" t="s">
        <v>11</v>
      </c>
      <c r="B3" s="1">
        <v>46297</v>
      </c>
      <c r="C3" t="s">
        <v>12</v>
      </c>
      <c r="D3" t="s">
        <v>23</v>
      </c>
      <c r="E3" t="s">
        <v>23</v>
      </c>
      <c r="F3" t="str">
        <f t="shared" ref="F3:F6" si="0">IF(D3=E3,"Yes","No")</f>
        <v>Yes</v>
      </c>
      <c r="G3" t="s">
        <v>25</v>
      </c>
      <c r="H3" t="s">
        <v>13</v>
      </c>
      <c r="I3">
        <f t="shared" ref="I3:I6" si="1">COUNTIF(F3:F7,"Yes")/COUNTA(F3:F7)*100</f>
        <v>75</v>
      </c>
    </row>
    <row r="4" spans="1:9" x14ac:dyDescent="0.3">
      <c r="A4" t="s">
        <v>14</v>
      </c>
      <c r="B4" s="1">
        <v>46297</v>
      </c>
      <c r="C4" t="s">
        <v>15</v>
      </c>
      <c r="D4" t="s">
        <v>23</v>
      </c>
      <c r="E4" t="s">
        <v>24</v>
      </c>
      <c r="F4" t="str">
        <f t="shared" si="0"/>
        <v>No</v>
      </c>
      <c r="G4" t="s">
        <v>26</v>
      </c>
      <c r="H4" t="s">
        <v>16</v>
      </c>
      <c r="I4">
        <f t="shared" si="1"/>
        <v>66.666666666666657</v>
      </c>
    </row>
    <row r="5" spans="1:9" x14ac:dyDescent="0.3">
      <c r="A5" t="s">
        <v>17</v>
      </c>
      <c r="B5" s="1">
        <v>46297</v>
      </c>
      <c r="C5" t="s">
        <v>18</v>
      </c>
      <c r="D5" t="s">
        <v>24</v>
      </c>
      <c r="E5" t="s">
        <v>24</v>
      </c>
      <c r="F5" t="str">
        <f t="shared" si="0"/>
        <v>Yes</v>
      </c>
      <c r="G5" t="s">
        <v>26</v>
      </c>
      <c r="H5" t="s">
        <v>19</v>
      </c>
      <c r="I5">
        <f t="shared" si="1"/>
        <v>100</v>
      </c>
    </row>
    <row r="6" spans="1:9" x14ac:dyDescent="0.3">
      <c r="A6" t="s">
        <v>20</v>
      </c>
      <c r="B6" s="1">
        <v>46297</v>
      </c>
      <c r="C6" t="s">
        <v>21</v>
      </c>
      <c r="D6" t="s">
        <v>23</v>
      </c>
      <c r="E6" t="s">
        <v>23</v>
      </c>
      <c r="F6" t="str">
        <f t="shared" si="0"/>
        <v>Yes</v>
      </c>
      <c r="G6" t="str">
        <f>$G$2</f>
        <v>Yes</v>
      </c>
      <c r="H6" t="s">
        <v>22</v>
      </c>
      <c r="I6">
        <f t="shared" si="1"/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hand_off_test_results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Kabir Verma</cp:lastModifiedBy>
  <dcterms:created xsi:type="dcterms:W3CDTF">2026-10-03T20:17:00Z</dcterms:created>
  <dcterms:modified xsi:type="dcterms:W3CDTF">2026-10-03T20:36:39Z</dcterms:modified>
</cp:coreProperties>
</file>